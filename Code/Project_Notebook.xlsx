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E:\INDIVIDUAL-RPA-Repos\Factory\RPT TRANSACTION\Code\"/>
    </mc:Choice>
  </mc:AlternateContent>
  <bookViews>
    <workbookView xWindow="0" yWindow="0" windowWidth="17250" windowHeight="1425" firstSheet="1" activeTab="4"/>
  </bookViews>
  <sheets>
    <sheet name="Scratchpad" sheetId="6" r:id="rId1"/>
    <sheet name="Date" sheetId="1" r:id="rId2"/>
    <sheet name="Text" sheetId="3" r:id="rId3"/>
    <sheet name="Number" sheetId="4" r:id="rId4"/>
    <sheet name="File" sheetId="5" r:id="rId5"/>
    <sheet name="Self RPA" sheetId="7" r:id="rId6"/>
    <sheet name="About the Project Notebook" sheetId="2" r:id="rId7"/>
  </sheets>
  <definedNames>
    <definedName name="_A1">Scratchpad!$A$1</definedName>
    <definedName name="_A2">Scratchpad!$A$2</definedName>
    <definedName name="_A3">Scratchpad!$A$3</definedName>
    <definedName name="CleanNumber">Number!$B$5</definedName>
    <definedName name="Contains">Text!$B$14</definedName>
    <definedName name="data_root">File!#REF!</definedName>
    <definedName name="date">Text!$B$7</definedName>
    <definedName name="Date_Input">Date!$B$4</definedName>
    <definedName name="DatePlusDays">Date!$B$8</definedName>
    <definedName name="DatePlusWorkingDays">Date!$B$9</definedName>
    <definedName name="DateText">Date!$B$19</definedName>
    <definedName name="Days">Date!$B$7</definedName>
    <definedName name="error_ccmail">Text!$B$5</definedName>
    <definedName name="error_toMail">Text!$B$4</definedName>
    <definedName name="FileExtension">File!#REF!</definedName>
    <definedName name="FileName">File!#REF!</definedName>
    <definedName name="FileNameNoExtension">File!#REF!</definedName>
    <definedName name="FileSaveAsExcel">'Self RPA'!$B$15</definedName>
    <definedName name="FileSaveAsWord">'Self RPA'!$B$16</definedName>
    <definedName name="FirstName">Text!$B$16</definedName>
    <definedName name="Folder">File!#REF!</definedName>
    <definedName name="Footer">'Self RPA'!$B$18</definedName>
    <definedName name="ftp_folder">File!$B$8</definedName>
    <definedName name="FTP_RECEIVING_FILE_PATH">File!$A$4</definedName>
    <definedName name="FTP_SALE_FILE_PATH">File!$B$5</definedName>
    <definedName name="FullFileName_Input">File!#REF!</definedName>
    <definedName name="IN016731001H">File!$C$2</definedName>
    <definedName name="IN043486001H">File!$C$3</definedName>
    <definedName name="IN056992002H">File!$C$4</definedName>
    <definedName name="Int">Number!$B$6</definedName>
    <definedName name="LastMonthEndDate">Date!$C$14</definedName>
    <definedName name="LastMonthStartDate">Date!$B$14</definedName>
    <definedName name="LastName">Text!$B$17</definedName>
    <definedName name="LastWeekFriday">Date!$C$13</definedName>
    <definedName name="LastWeekMonday">Date!$B$13</definedName>
    <definedName name="LastWeekSunday">Date!$D$13</definedName>
    <definedName name="Length">Text!$B$7</definedName>
    <definedName name="LowerCase">Text!$B$9</definedName>
    <definedName name="month_end_Date">Text!$B$11</definedName>
    <definedName name="month_start_date">Text!$B$10</definedName>
    <definedName name="my_systemNME">File!#REF!</definedName>
    <definedName name="Number_Input">Number!$B$4</definedName>
    <definedName name="NumberText_Input">Number!$B$11</definedName>
    <definedName name="PrcessOwner">'Self RPA'!$B$19</definedName>
    <definedName name="PrcessOwnerMail">'Self RPA'!#REF!</definedName>
    <definedName name="PrcoessName">'Self RPA'!$B$21</definedName>
    <definedName name="preferred_date_format">Date!$B$6</definedName>
    <definedName name="ProcessFolder">'Self RPA'!$B$14</definedName>
    <definedName name="ProcessFolderBase">'Self RPA'!$B$13</definedName>
    <definedName name="ProcessFolderOwner">'Self RPA'!$B$12</definedName>
    <definedName name="ProcessOwnerMail">'Self RPA'!$B$20</definedName>
    <definedName name="Product_AU_CODE">File!$B$1</definedName>
    <definedName name="Product_unit_code">File!$A$2</definedName>
    <definedName name="productCode">File!#REF!</definedName>
    <definedName name="ReformattedDate">Date!$B$31</definedName>
    <definedName name="ReformattedFileName">File!#REF!</definedName>
    <definedName name="ReformattedNumber">Number!$B$15</definedName>
    <definedName name="Replace">Text!$B$12</definedName>
    <definedName name="Result">Text!$B$13</definedName>
    <definedName name="Search">Text!$B$11</definedName>
    <definedName name="SINGLEX_FILE_PATH_FTP">File!$B$6</definedName>
    <definedName name="STOCK_FILE_DATA_FTP">File!$B$7</definedName>
    <definedName name="temp">File!#REF!</definedName>
    <definedName name="Text_Input">Text!$B$4</definedName>
    <definedName name="ThisMonthFirstWorkingDay">Date!$B$15</definedName>
    <definedName name="ThisMonthLastWorkingDay">Date!$C$15</definedName>
    <definedName name="Today">Date!$B$12</definedName>
    <definedName name="Trimmed">Text!$B$6</definedName>
    <definedName name="TwoDecimals">Number!$B$7</definedName>
    <definedName name="UpperCase">Text!$B$8</definedName>
    <definedName name="YYYYMMDD">Date!$B$10</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11" i="3" l="1"/>
  <c r="B10" i="3"/>
  <c r="A7" i="3" l="1"/>
  <c r="B10" i="7" l="1"/>
  <c r="B9" i="7" l="1"/>
  <c r="B8" i="7"/>
  <c r="B12" i="7" l="1"/>
  <c r="B13" i="7" l="1"/>
  <c r="B11" i="7" l="1"/>
  <c r="B16" i="7" s="1"/>
  <c r="B14" i="7" l="1"/>
  <c r="D13" i="1"/>
  <c r="C13" i="1"/>
  <c r="F13" i="1" l="1"/>
  <c r="B30" i="1" l="1"/>
  <c r="F26" i="1"/>
  <c r="C15" i="1"/>
  <c r="B15" i="1"/>
  <c r="C14" i="1"/>
  <c r="B14" i="1"/>
  <c r="B13" i="1"/>
  <c r="B12" i="1"/>
  <c r="B15" i="7" l="1"/>
  <c r="B5" i="4" l="1"/>
  <c r="B7" i="4" s="1"/>
  <c r="B6" i="4" l="1"/>
  <c r="B15" i="4" l="1"/>
  <c r="B23" i="1" l="1"/>
  <c r="B4" i="1"/>
  <c r="C23" i="1" l="1"/>
  <c r="D23" i="1" s="1"/>
  <c r="B26" i="1"/>
  <c r="B8" i="1"/>
  <c r="B9" i="1"/>
  <c r="B10" i="1"/>
  <c r="B24" i="1"/>
  <c r="B25" i="1" l="1"/>
  <c r="B28" i="1" s="1"/>
  <c r="B27" i="1"/>
  <c r="B31" i="1" s="1"/>
</calcChain>
</file>

<file path=xl/sharedStrings.xml><?xml version="1.0" encoding="utf-8"?>
<sst xmlns="http://schemas.openxmlformats.org/spreadsheetml/2006/main" count="103" uniqueCount="97">
  <si>
    <t>Last month's dates (First and Last)</t>
  </si>
  <si>
    <t>First / Last business day this month</t>
  </si>
  <si>
    <t>Number Operations</t>
  </si>
  <si>
    <t>Date Operations</t>
  </si>
  <si>
    <t>,</t>
  </si>
  <si>
    <t>123.456,78</t>
  </si>
  <si>
    <t>.</t>
  </si>
  <si>
    <t>YMD</t>
  </si>
  <si>
    <t>年</t>
  </si>
  <si>
    <t>月</t>
  </si>
  <si>
    <t>2008年12月31日 (水)</t>
  </si>
  <si>
    <t>日</t>
  </si>
  <si>
    <t>Date Format (YYYYMMDD)</t>
  </si>
  <si>
    <t>Last week's dates (Monday, Friday, Sunday)</t>
  </si>
  <si>
    <t>Converts text to a number, in a locale-independent way</t>
  </si>
  <si>
    <t>Converts text to a date, in a locale-independent way</t>
  </si>
  <si>
    <t>Inputs</t>
  </si>
  <si>
    <t>Text</t>
  </si>
  <si>
    <t>Calculated Values</t>
  </si>
  <si>
    <t>Output</t>
  </si>
  <si>
    <t>Separator</t>
  </si>
  <si>
    <t>Format</t>
  </si>
  <si>
    <t>Reformatted Date</t>
  </si>
  <si>
    <t>Today</t>
  </si>
  <si>
    <t>Date (input)</t>
  </si>
  <si>
    <t>1st token</t>
  </si>
  <si>
    <t>2nd token</t>
  </si>
  <si>
    <t>3rd token</t>
  </si>
  <si>
    <t>Extracted Year</t>
  </si>
  <si>
    <t>Extracted Month</t>
  </si>
  <si>
    <t>Extracted Day</t>
  </si>
  <si>
    <t>Decimal Separator</t>
  </si>
  <si>
    <t>Group Separator</t>
  </si>
  <si>
    <t>Reformatted Number</t>
  </si>
  <si>
    <t>Number (input)</t>
  </si>
  <si>
    <t>Int</t>
  </si>
  <si>
    <t>2 decimals</t>
  </si>
  <si>
    <t>Text Operations</t>
  </si>
  <si>
    <t>Days</t>
  </si>
  <si>
    <t>Date plus a number of days</t>
  </si>
  <si>
    <t>Date plus a number of working days</t>
  </si>
  <si>
    <t>Cleaned Up</t>
  </si>
  <si>
    <t>Project Notebook</t>
  </si>
  <si>
    <t>- Use the cell containining the formula directly in another activity to get the value produced by your formula.</t>
  </si>
  <si>
    <t>How to use the Project Notebook</t>
  </si>
  <si>
    <t>How to save data</t>
  </si>
  <si>
    <t>- The Project Notebook is intended for manipulating data when your automation is running. It is not intended as a place to store data.</t>
  </si>
  <si>
    <t>-  To save data to an Excel file:</t>
  </si>
  <si>
    <t xml:space="preserve">  - If you indicate a file name that doesn't exist, it will be created when you run your project.</t>
  </si>
  <si>
    <t>Formulas for working with text</t>
  </si>
  <si>
    <t>Formulas for working with numbers</t>
  </si>
  <si>
    <t>- Add a "Write Cell" activity to put the data you want to manipulate using an Excel formula into the "input cell" for your formula.</t>
  </si>
  <si>
    <t xml:space="preserve">  - Add a "Use Excel File" activity and choose your target Excel file.</t>
  </si>
  <si>
    <t>Your Project Notebook is intended to use Excel formulas for data manipulation and calculations  It includes several samples sheets to get you started, but you have the freedom to do anything you can do in Excel.</t>
  </si>
  <si>
    <t>Preferred Format</t>
  </si>
  <si>
    <t xml:space="preserve">   Output Date Format</t>
  </si>
  <si>
    <t>Formulas for working with dates
Note: All dates are formatted using TEXT() to avoid formatting issues that can occur due to differences in formatting preferences</t>
  </si>
  <si>
    <t>yyyymmdd</t>
  </si>
  <si>
    <t>Self RPA Configuration</t>
  </si>
  <si>
    <t>Process configurations</t>
  </si>
  <si>
    <t>Process name</t>
  </si>
  <si>
    <t>Organization</t>
  </si>
  <si>
    <t>Process base</t>
  </si>
  <si>
    <t>Process name(normalized)</t>
  </si>
  <si>
    <t>Process User Name Folder</t>
    <phoneticPr fontId="18" type="noConversion"/>
  </si>
  <si>
    <t>Precess Group Folder</t>
    <phoneticPr fontId="18" type="noConversion"/>
  </si>
  <si>
    <t>Process day folder</t>
    <phoneticPr fontId="18" type="noConversion"/>
  </si>
  <si>
    <t>Process Folder</t>
    <phoneticPr fontId="18" type="noConversion"/>
  </si>
  <si>
    <t>FileSaveAsWord</t>
    <phoneticPr fontId="18" type="noConversion"/>
  </si>
  <si>
    <t>Process Folder Base</t>
  </si>
  <si>
    <t>Process Folder Owner</t>
  </si>
  <si>
    <t>FileSaveAsExcel</t>
  </si>
  <si>
    <t>Process owner</t>
  </si>
  <si>
    <t>Y</t>
    <phoneticPr fontId="18" type="noConversion"/>
  </si>
  <si>
    <t>Footer(do not edit)</t>
    <phoneticPr fontId="18" type="noConversion"/>
  </si>
  <si>
    <t>D:\RPA_Repository_SELFRPA</t>
    <phoneticPr fontId="18" type="noConversion"/>
  </si>
  <si>
    <t>Process Owner</t>
    <phoneticPr fontId="18" type="noConversion"/>
  </si>
  <si>
    <t>Process Owner mail</t>
    <phoneticPr fontId="18" type="noConversion"/>
  </si>
  <si>
    <t>Process Name</t>
    <phoneticPr fontId="18" type="noConversion"/>
  </si>
  <si>
    <t>error_tomail</t>
  </si>
  <si>
    <t>animesh1.singh@lge.com</t>
  </si>
  <si>
    <t>error_ccMail</t>
  </si>
  <si>
    <t>LGEIL</t>
  </si>
  <si>
    <t>Animesh.singh</t>
  </si>
  <si>
    <t>INDIA_LGEIL_allProducts_Reconciliation_of_Sales_Fact_SELF</t>
  </si>
  <si>
    <t>2025-03-27</t>
  </si>
  <si>
    <t>month_start_date</t>
  </si>
  <si>
    <t>month_end_Date</t>
  </si>
  <si>
    <t>Code</t>
  </si>
  <si>
    <t>Name</t>
  </si>
  <si>
    <t>RequestID</t>
  </si>
  <si>
    <t xml:space="preserve">IN016731001H </t>
  </si>
  <si>
    <t xml:space="preserve">IN043486001H </t>
  </si>
  <si>
    <t xml:space="preserve">IN056992002H </t>
  </si>
  <si>
    <t>LG SOFT</t>
  </si>
  <si>
    <t>LG CNS</t>
  </si>
  <si>
    <t>HI-M Solutek</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</si>
</sst>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5" formatCode="&quot;$&quot;#,##0_);\(&quot;$&quot;#,##0\)"/>
    <numFmt numFmtId="6" formatCode="&quot;$&quot;#,##0_);[Red]\(&quot;$&quot;#,##0\)"/>
    <numFmt numFmtId="43" formatCode="_(* #,##0.00_);_(* \(#,##0.00\);_(* &quot;-&quot;??_);_(@_)"/>
    <numFmt numFmtId="164" formatCode="###,000"/>
    <numFmt numFmtId="165" formatCode="yyyy;@"/>
    <numFmt numFmtId="166" formatCode="dd\-mmm"/>
  </numFmts>
  <fonts count="21">
    <font>
      <sz val="11"/>
      <color theme="1"/>
      <name val="Calibri"/>
      <family val="2"/>
      <scheme val="minor"/>
    </font>
    <font>
      <sz val="11"/>
      <color theme="1"/>
      <name val="Calibri"/>
      <family val="2"/>
      <scheme val="minor"/>
    </font>
    <font>
      <b/>
      <sz val="11"/>
      <color theme="1"/>
      <name val="Calibri"/>
      <family val="2"/>
      <scheme val="minor"/>
    </font>
    <font>
      <sz val="11"/>
      <color rgb="FF222222"/>
      <name val="Arial"/>
      <family val="2"/>
    </font>
    <font>
      <sz val="11"/>
      <color theme="0"/>
      <name val="Calibri"/>
      <family val="2"/>
      <scheme val="minor"/>
    </font>
    <font>
      <sz val="11"/>
      <color theme="1"/>
      <name val="Calibri"/>
      <family val="2"/>
    </font>
    <font>
      <sz val="11"/>
      <color rgb="FF0B744D"/>
      <name val="Calibri"/>
      <family val="2"/>
      <scheme val="minor"/>
    </font>
    <font>
      <sz val="72"/>
      <color theme="0"/>
      <name val="Calibri Light"/>
      <family val="2"/>
      <scheme val="major"/>
    </font>
    <font>
      <sz val="17"/>
      <color theme="0"/>
      <name val="Calibri"/>
      <family val="2"/>
      <scheme val="minor"/>
    </font>
    <font>
      <u/>
      <sz val="11"/>
      <color theme="11"/>
      <name val="Calibri"/>
      <family val="2"/>
      <scheme val="minor"/>
    </font>
    <font>
      <u/>
      <sz val="11"/>
      <color theme="10"/>
      <name val="Calibri"/>
      <family val="2"/>
      <scheme val="minor"/>
    </font>
    <font>
      <b/>
      <sz val="14"/>
      <color rgb="FF0070C0"/>
      <name val="Segoe UI"/>
      <family val="2"/>
    </font>
    <font>
      <sz val="42"/>
      <color theme="0"/>
      <name val="Segoe UI"/>
      <family val="2"/>
    </font>
    <font>
      <sz val="11"/>
      <name val="Calibri"/>
      <family val="2"/>
      <scheme val="minor"/>
    </font>
    <font>
      <sz val="24"/>
      <color theme="0"/>
      <name val="Segoe UI"/>
      <family val="2"/>
    </font>
    <font>
      <sz val="14"/>
      <color theme="0"/>
      <name val="Calibri"/>
      <family val="2"/>
      <scheme val="minor"/>
    </font>
    <font>
      <b/>
      <sz val="14"/>
      <color theme="0"/>
      <name val="Calibri"/>
      <family val="2"/>
      <scheme val="minor"/>
    </font>
    <font>
      <sz val="14"/>
      <color theme="1"/>
      <name val="Calibri"/>
      <family val="2"/>
      <scheme val="minor"/>
    </font>
    <font>
      <sz val="8"/>
      <name val="Calibri"/>
      <family val="3"/>
      <charset val="129"/>
      <scheme val="minor"/>
    </font>
    <font>
      <b/>
      <sz val="11"/>
      <color theme="1"/>
      <name val="Calibri"/>
      <family val="3"/>
      <charset val="129"/>
      <scheme val="minor"/>
    </font>
    <font>
      <sz val="14"/>
      <color rgb="FF000000"/>
      <name val="Calibri"/>
      <family val="2"/>
      <scheme val="minor"/>
    </font>
  </fonts>
  <fills count="11">
    <fill>
      <patternFill patternType="none"/>
    </fill>
    <fill>
      <patternFill patternType="gray125"/>
    </fill>
    <fill>
      <patternFill patternType="solid">
        <fgColor rgb="FF217346"/>
        <bgColor indexed="64"/>
      </patternFill>
    </fill>
    <fill>
      <patternFill patternType="solid">
        <fgColor theme="0" tint="-4.9989318521683403E-2"/>
        <bgColor indexed="64"/>
      </patternFill>
    </fill>
    <fill>
      <patternFill patternType="solid">
        <fgColor rgb="FF339966"/>
        <bgColor indexed="64"/>
      </patternFill>
    </fill>
    <fill>
      <patternFill patternType="solid">
        <fgColor rgb="FFFFFF00"/>
        <bgColor indexed="64"/>
      </patternFill>
    </fill>
    <fill>
      <patternFill patternType="solid">
        <fgColor rgb="FFFFFF99"/>
        <bgColor indexed="64"/>
      </patternFill>
    </fill>
    <fill>
      <patternFill patternType="solid">
        <fgColor theme="0" tint="-0.249977111117893"/>
        <bgColor indexed="64"/>
      </patternFill>
    </fill>
    <fill>
      <patternFill patternType="solid">
        <fgColor rgb="FF00819D"/>
        <bgColor indexed="64"/>
      </patternFill>
    </fill>
    <fill>
      <patternFill patternType="solid">
        <fgColor theme="0" tint="-0.14999847407452621"/>
        <bgColor indexed="64"/>
      </patternFill>
    </fill>
    <fill>
      <patternFill patternType="solid">
        <fgColor rgb="FFFFFF00"/>
        <bgColor rgb="FF000000"/>
      </patternFill>
    </fill>
  </fills>
  <borders count="26">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rgb="FFB2B2B2"/>
      </left>
      <right style="thin">
        <color rgb="FFB2B2B2"/>
      </right>
      <top style="thin">
        <color rgb="FFB2B2B2"/>
      </top>
      <bottom style="thin">
        <color rgb="FFB2B2B2"/>
      </bottom>
      <diagonal/>
    </border>
    <border>
      <left/>
      <right/>
      <top/>
      <bottom style="thin">
        <color indexed="64"/>
      </bottom>
      <diagonal/>
    </border>
    <border>
      <left/>
      <right/>
      <top/>
      <bottom style="thin">
        <color rgb="FF339966"/>
      </bottom>
      <diagonal/>
    </border>
    <border>
      <left style="thin">
        <color indexed="64"/>
      </left>
      <right/>
      <top/>
      <bottom/>
      <diagonal/>
    </border>
    <border>
      <left style="thin">
        <color rgb="FF339966"/>
      </left>
      <right/>
      <top/>
      <bottom style="thin">
        <color rgb="FF339966"/>
      </bottom>
      <diagonal/>
    </border>
    <border>
      <left style="thin">
        <color rgb="FF339966"/>
      </left>
      <right/>
      <top/>
      <bottom/>
      <diagonal/>
    </border>
    <border>
      <left style="thick">
        <color rgb="FFF4B183"/>
      </left>
      <right style="thick">
        <color rgb="FFF4B183"/>
      </right>
      <top style="thick">
        <color rgb="FFF4B183"/>
      </top>
      <bottom style="thick">
        <color rgb="FFF4B183"/>
      </bottom>
      <diagonal/>
    </border>
    <border>
      <left/>
      <right style="thin">
        <color rgb="FF339966"/>
      </right>
      <top/>
      <bottom style="thin">
        <color rgb="FF339966"/>
      </bottom>
      <diagonal/>
    </border>
    <border>
      <left/>
      <right style="thin">
        <color rgb="FF339966"/>
      </right>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45">
    <xf numFmtId="0" fontId="0" fillId="0" borderId="0"/>
    <xf numFmtId="43" fontId="1" fillId="0" borderId="0" applyFont="0" applyFill="0" applyBorder="0" applyAlignment="0" applyProtection="0"/>
    <xf numFmtId="0" fontId="6" fillId="0" borderId="0" applyFill="0" applyBorder="0">
      <alignment wrapText="1"/>
    </xf>
    <xf numFmtId="0" fontId="1" fillId="0" borderId="0"/>
    <xf numFmtId="0" fontId="7" fillId="2" borderId="0" applyNumberFormat="0" applyBorder="0" applyProtection="0">
      <alignment horizontal="left" indent="1"/>
    </xf>
    <xf numFmtId="0" fontId="8" fillId="2" borderId="0" applyNumberFormat="0" applyProtection="0">
      <alignment horizontal="left" wrapText="1" indent="4"/>
    </xf>
    <xf numFmtId="0" fontId="6" fillId="2" borderId="0" applyNumberFormat="0" applyProtection="0">
      <alignment horizontal="left" wrapText="1" indent="4"/>
    </xf>
    <xf numFmtId="0" fontId="4" fillId="0" borderId="0"/>
    <xf numFmtId="0" fontId="7" fillId="2" borderId="0" applyNumberFormat="0" applyBorder="0" applyProtection="0">
      <alignment horizontal="left" indent="1"/>
    </xf>
    <xf numFmtId="0" fontId="10" fillId="0" borderId="0" applyNumberFormat="0" applyFill="0" applyBorder="0" applyAlignment="0" applyProtection="0"/>
    <xf numFmtId="0" fontId="9" fillId="0" borderId="0" applyNumberFormat="0" applyFill="0" applyBorder="0" applyAlignment="0" applyProtection="0"/>
    <xf numFmtId="5" fontId="1" fillId="0" borderId="0" applyFont="0" applyFill="0" applyBorder="0" applyAlignment="0" applyProtection="0"/>
    <xf numFmtId="0" fontId="8" fillId="2" borderId="0" applyNumberFormat="0" applyProtection="0">
      <alignment horizontal="left" wrapText="1" indent="4"/>
    </xf>
    <xf numFmtId="0" fontId="6" fillId="2" borderId="0" applyNumberFormat="0" applyProtection="0">
      <alignment horizontal="left" wrapText="1" indent="4"/>
    </xf>
    <xf numFmtId="0" fontId="4" fillId="4" borderId="0" applyNumberFormat="0" applyBorder="0" applyProtection="0"/>
    <xf numFmtId="0" fontId="2" fillId="0" borderId="0" applyNumberFormat="0" applyFill="0" applyBorder="0" applyAlignment="0" applyProtection="0"/>
    <xf numFmtId="0" fontId="1" fillId="0" borderId="12" applyNumberFormat="0" applyFont="0" applyFill="0" applyAlignment="0"/>
    <xf numFmtId="0" fontId="1" fillId="0" borderId="13" applyNumberFormat="0" applyFont="0" applyFill="0" applyAlignment="0"/>
    <xf numFmtId="14" fontId="1" fillId="0" borderId="0" applyFont="0" applyFill="0" applyBorder="0" applyAlignment="0"/>
    <xf numFmtId="0" fontId="1" fillId="3" borderId="0"/>
    <xf numFmtId="6" fontId="1" fillId="5" borderId="0" applyFont="0" applyBorder="0" applyAlignment="0"/>
    <xf numFmtId="0" fontId="1" fillId="0" borderId="14"/>
    <xf numFmtId="0" fontId="1" fillId="0" borderId="15" applyNumberFormat="0" applyFont="0" applyFill="0"/>
    <xf numFmtId="0" fontId="1" fillId="0" borderId="16" applyNumberFormat="0" applyFont="0" applyFill="0" applyAlignment="0"/>
    <xf numFmtId="0" fontId="1" fillId="3" borderId="17"/>
    <xf numFmtId="0" fontId="1" fillId="0" borderId="18" applyNumberFormat="0" applyFont="0" applyFill="0" applyAlignment="0"/>
    <xf numFmtId="0" fontId="1" fillId="0" borderId="19" applyNumberFormat="0" applyFont="0" applyFill="0" applyAlignment="0"/>
    <xf numFmtId="165" fontId="1" fillId="0" borderId="0" applyFont="0" applyFill="0" applyBorder="0" applyAlignment="0"/>
    <xf numFmtId="0" fontId="1" fillId="6" borderId="11"/>
    <xf numFmtId="0" fontId="4" fillId="4" borderId="0" applyNumberFormat="0" applyBorder="0" applyProtection="0"/>
    <xf numFmtId="0" fontId="1" fillId="3" borderId="0"/>
    <xf numFmtId="0" fontId="1" fillId="6" borderId="11"/>
    <xf numFmtId="0" fontId="1" fillId="0" borderId="0"/>
    <xf numFmtId="0" fontId="5" fillId="0" borderId="0"/>
    <xf numFmtId="0" fontId="1" fillId="3" borderId="17"/>
    <xf numFmtId="0" fontId="5" fillId="0" borderId="0"/>
    <xf numFmtId="0" fontId="11" fillId="0" borderId="0" applyBorder="0" applyProtection="0">
      <alignment horizontal="left"/>
    </xf>
    <xf numFmtId="0" fontId="12" fillId="2" borderId="0" applyNumberFormat="0" applyBorder="0" applyProtection="0">
      <alignment horizontal="left" indent="1"/>
    </xf>
    <xf numFmtId="0" fontId="5" fillId="0" borderId="0"/>
    <xf numFmtId="166" fontId="13" fillId="0" borderId="0" applyFont="0" applyFill="0" applyBorder="0" applyAlignment="0">
      <alignment horizontal="left"/>
    </xf>
    <xf numFmtId="5" fontId="5" fillId="0" borderId="0" applyFont="0" applyFill="0" applyBorder="0" applyAlignment="0" applyProtection="0"/>
    <xf numFmtId="0" fontId="5" fillId="0" borderId="0"/>
    <xf numFmtId="5" fontId="5" fillId="0" borderId="0" applyFont="0" applyFill="0" applyBorder="0" applyAlignment="0" applyProtection="0"/>
    <xf numFmtId="0" fontId="5" fillId="0" borderId="0"/>
    <xf numFmtId="43" fontId="5" fillId="0" borderId="0" applyFont="0" applyFill="0" applyBorder="0" applyAlignment="0" applyProtection="0"/>
  </cellStyleXfs>
  <cellXfs count="65">
    <xf numFmtId="0" fontId="0" fillId="0" borderId="0" xfId="0"/>
    <xf numFmtId="16" fontId="0" fillId="0" borderId="0" xfId="0" applyNumberFormat="1"/>
    <xf numFmtId="14" fontId="0" fillId="0" borderId="0" xfId="0" applyNumberFormat="1"/>
    <xf numFmtId="0" fontId="2" fillId="0" borderId="0" xfId="0" applyFont="1"/>
    <xf numFmtId="164" fontId="0" fillId="0" borderId="0" xfId="0" applyNumberFormat="1"/>
    <xf numFmtId="0" fontId="0" fillId="0" borderId="0" xfId="0" quotePrefix="1" applyBorder="1"/>
    <xf numFmtId="0" fontId="0" fillId="0" borderId="0" xfId="0" applyBorder="1"/>
    <xf numFmtId="0" fontId="0" fillId="0" borderId="2" xfId="0" applyBorder="1"/>
    <xf numFmtId="14" fontId="0" fillId="0" borderId="4" xfId="0" applyNumberFormat="1" applyBorder="1"/>
    <xf numFmtId="0" fontId="0" fillId="0" borderId="4" xfId="0" applyBorder="1"/>
    <xf numFmtId="0" fontId="0" fillId="0" borderId="5" xfId="0" applyBorder="1"/>
    <xf numFmtId="43" fontId="0" fillId="0" borderId="5" xfId="1" applyFont="1" applyBorder="1"/>
    <xf numFmtId="0" fontId="2" fillId="0" borderId="1" xfId="0" applyFont="1" applyBorder="1"/>
    <xf numFmtId="0" fontId="0" fillId="0" borderId="1" xfId="0" applyBorder="1" applyAlignment="1">
      <alignment horizontal="left" indent="1"/>
    </xf>
    <xf numFmtId="0" fontId="2" fillId="0" borderId="1" xfId="0" applyFont="1" applyBorder="1" applyAlignment="1">
      <alignment horizontal="left"/>
    </xf>
    <xf numFmtId="0" fontId="0" fillId="0" borderId="3" xfId="0" applyBorder="1" applyAlignment="1">
      <alignment horizontal="left" indent="1"/>
    </xf>
    <xf numFmtId="0" fontId="0" fillId="0" borderId="1" xfId="0" applyBorder="1" applyAlignment="1">
      <alignment horizontal="left" indent="1"/>
    </xf>
    <xf numFmtId="0" fontId="0" fillId="0" borderId="9" xfId="0" applyBorder="1" applyAlignment="1">
      <alignment horizontal="left" indent="1"/>
    </xf>
    <xf numFmtId="0" fontId="0" fillId="0" borderId="1" xfId="0" applyFont="1" applyBorder="1" applyAlignment="1">
      <alignment horizontal="left" indent="1"/>
    </xf>
    <xf numFmtId="0" fontId="0" fillId="0" borderId="0" xfId="0"/>
    <xf numFmtId="0" fontId="0" fillId="0" borderId="2" xfId="0" applyBorder="1"/>
    <xf numFmtId="0" fontId="0" fillId="0" borderId="0" xfId="1" applyNumberFormat="1" applyFont="1"/>
    <xf numFmtId="0" fontId="0" fillId="0" borderId="0" xfId="0" applyAlignment="1">
      <alignment wrapText="1"/>
    </xf>
    <xf numFmtId="0" fontId="0" fillId="0" borderId="0" xfId="0" applyFont="1" applyBorder="1"/>
    <xf numFmtId="0" fontId="1" fillId="0" borderId="0" xfId="1" applyNumberFormat="1" applyFont="1" applyBorder="1"/>
    <xf numFmtId="0" fontId="0" fillId="0" borderId="0" xfId="0" applyNumberFormat="1" applyFont="1" applyBorder="1"/>
    <xf numFmtId="14" fontId="0" fillId="0" borderId="0" xfId="0" applyNumberFormat="1" applyFont="1" applyBorder="1"/>
    <xf numFmtId="0" fontId="2" fillId="7" borderId="0" xfId="0" applyFont="1" applyFill="1" applyBorder="1" applyAlignment="1">
      <alignment horizontal="left" vertical="top" wrapText="1" indent="1"/>
    </xf>
    <xf numFmtId="0" fontId="0" fillId="0" borderId="0" xfId="0" applyFont="1" applyBorder="1" applyAlignment="1">
      <alignment horizontal="left" vertical="top" wrapText="1" indent="1"/>
    </xf>
    <xf numFmtId="0" fontId="0" fillId="8" borderId="0" xfId="0" applyFont="1" applyFill="1" applyBorder="1"/>
    <xf numFmtId="0" fontId="0" fillId="0" borderId="0" xfId="0" quotePrefix="1" applyFont="1" applyBorder="1" applyAlignment="1">
      <alignment horizontal="left" vertical="top" wrapText="1" indent="1"/>
    </xf>
    <xf numFmtId="0" fontId="15" fillId="8" borderId="0" xfId="5" applyFont="1" applyFill="1" applyAlignment="1">
      <alignment horizontal="left" vertical="top" wrapText="1" indent="1"/>
    </xf>
    <xf numFmtId="0" fontId="14" fillId="8" borderId="0" xfId="4" applyFont="1" applyFill="1" applyAlignment="1">
      <alignment horizontal="left" vertical="top" wrapText="1" indent="1"/>
    </xf>
    <xf numFmtId="0" fontId="4" fillId="0" borderId="0" xfId="5" applyFont="1" applyFill="1" applyAlignment="1">
      <alignment horizontal="left" vertical="top" wrapText="1"/>
    </xf>
    <xf numFmtId="0" fontId="16" fillId="0" borderId="0" xfId="5" applyFont="1" applyFill="1" applyAlignment="1">
      <alignment horizontal="left" vertical="top" wrapText="1"/>
    </xf>
    <xf numFmtId="0" fontId="0" fillId="0" borderId="0" xfId="0" applyFill="1"/>
    <xf numFmtId="14" fontId="0" fillId="0" borderId="0" xfId="0" applyNumberFormat="1" applyAlignment="1">
      <alignment horizontal="right"/>
    </xf>
    <xf numFmtId="0" fontId="0" fillId="0" borderId="0" xfId="0" applyAlignment="1">
      <alignment horizontal="right"/>
    </xf>
    <xf numFmtId="14" fontId="0" fillId="0" borderId="0" xfId="0" applyNumberFormat="1" applyAlignment="1">
      <alignment horizontal="left" indent="1"/>
    </xf>
    <xf numFmtId="0" fontId="0" fillId="0" borderId="1" xfId="0" applyFont="1" applyBorder="1" applyAlignment="1">
      <alignment horizontal="left"/>
    </xf>
    <xf numFmtId="0" fontId="0" fillId="9" borderId="2" xfId="0" applyFill="1" applyBorder="1"/>
    <xf numFmtId="0" fontId="17" fillId="5" borderId="2" xfId="0" applyFont="1" applyFill="1" applyBorder="1"/>
    <xf numFmtId="0" fontId="0" fillId="0" borderId="1" xfId="0" applyFill="1" applyBorder="1" applyAlignment="1">
      <alignment horizontal="left" indent="1"/>
    </xf>
    <xf numFmtId="0" fontId="0" fillId="0" borderId="3" xfId="0" applyFill="1" applyBorder="1" applyAlignment="1">
      <alignment horizontal="left" indent="1"/>
    </xf>
    <xf numFmtId="0" fontId="19" fillId="9" borderId="2" xfId="0" applyFont="1" applyFill="1" applyBorder="1"/>
    <xf numFmtId="0" fontId="19" fillId="9" borderId="5" xfId="0" applyFont="1" applyFill="1" applyBorder="1"/>
    <xf numFmtId="0" fontId="0" fillId="9" borderId="20" xfId="0" applyFill="1" applyBorder="1" applyAlignment="1">
      <alignment horizontal="left" indent="1"/>
    </xf>
    <xf numFmtId="0" fontId="0" fillId="9" borderId="21" xfId="0" applyFill="1" applyBorder="1"/>
    <xf numFmtId="0" fontId="0" fillId="9" borderId="22" xfId="0" applyFill="1" applyBorder="1" applyAlignment="1">
      <alignment horizontal="left" indent="1"/>
    </xf>
    <xf numFmtId="0" fontId="0" fillId="9" borderId="24" xfId="0" applyFill="1" applyBorder="1" applyAlignment="1">
      <alignment horizontal="left" indent="1"/>
    </xf>
    <xf numFmtId="0" fontId="10" fillId="5" borderId="23" xfId="9" applyFill="1" applyBorder="1"/>
    <xf numFmtId="0" fontId="13" fillId="5" borderId="25" xfId="9" applyFont="1" applyFill="1" applyBorder="1"/>
    <xf numFmtId="0" fontId="10" fillId="0" borderId="0" xfId="9"/>
    <xf numFmtId="0" fontId="20" fillId="10" borderId="10" xfId="0" applyFont="1" applyFill="1" applyBorder="1"/>
    <xf numFmtId="0" fontId="10" fillId="10" borderId="2" xfId="9" applyFill="1" applyBorder="1"/>
    <xf numFmtId="0" fontId="0" fillId="0" borderId="0" xfId="0" applyAlignment="1">
      <alignment horizontal="left"/>
    </xf>
    <xf numFmtId="14" fontId="0" fillId="0" borderId="0" xfId="0" applyNumberFormat="1" applyAlignment="1">
      <alignment horizontal="left"/>
    </xf>
    <xf numFmtId="0" fontId="3" fillId="0" borderId="0" xfId="0" applyFont="1" applyBorder="1" applyAlignment="1">
      <alignment horizontal="left"/>
    </xf>
    <xf numFmtId="0" fontId="3" fillId="0" borderId="2" xfId="0" applyFont="1" applyBorder="1" applyAlignment="1">
      <alignment horizontal="left"/>
    </xf>
    <xf numFmtId="0" fontId="2" fillId="0" borderId="6" xfId="0" applyFont="1" applyBorder="1" applyAlignment="1">
      <alignment horizontal="left" wrapText="1"/>
    </xf>
    <xf numFmtId="0" fontId="2" fillId="0" borderId="7" xfId="0" applyFont="1" applyBorder="1" applyAlignment="1">
      <alignment horizontal="left" wrapText="1"/>
    </xf>
    <xf numFmtId="0" fontId="2" fillId="0" borderId="8" xfId="0" applyFont="1" applyBorder="1" applyAlignment="1">
      <alignment horizontal="left" wrapText="1"/>
    </xf>
    <xf numFmtId="0" fontId="16" fillId="8" borderId="0" xfId="5" applyFont="1" applyFill="1" applyAlignment="1">
      <alignment horizontal="left" vertical="top" wrapText="1"/>
    </xf>
    <xf numFmtId="0" fontId="4" fillId="8" borderId="0" xfId="5" applyFont="1" applyFill="1" applyAlignment="1">
      <alignment horizontal="left" vertical="top" wrapText="1"/>
    </xf>
    <xf numFmtId="0" fontId="4" fillId="8" borderId="0" xfId="5" applyFont="1" applyFill="1" applyAlignment="1">
      <alignment horizontal="left" vertical="top"/>
    </xf>
  </cellXfs>
  <cellStyles count="45">
    <cellStyle name="Bottom Border" xfId="16"/>
    <cellStyle name="Bottom Green Border" xfId="17"/>
    <cellStyle name="Comma" xfId="1" builtinId="3"/>
    <cellStyle name="Comma 2" xfId="44"/>
    <cellStyle name="Currency 2" xfId="40"/>
    <cellStyle name="Currency 2 2" xfId="42"/>
    <cellStyle name="Currency 3" xfId="11"/>
    <cellStyle name="Date" xfId="18"/>
    <cellStyle name="Date 2" xfId="39"/>
    <cellStyle name="Followed Hyperlink" xfId="10" builtinId="9" customBuiltin="1"/>
    <cellStyle name="GrayCell" xfId="19"/>
    <cellStyle name="GrayCell 2" xfId="30"/>
    <cellStyle name="Heading 1 2" xfId="5"/>
    <cellStyle name="Heading 1 3" xfId="12"/>
    <cellStyle name="Heading 2 2" xfId="6"/>
    <cellStyle name="Heading 2 3" xfId="13"/>
    <cellStyle name="Heading 3 2" xfId="29"/>
    <cellStyle name="Heading 3 3" xfId="14"/>
    <cellStyle name="Heading 4 2" xfId="15"/>
    <cellStyle name="Highlight" xfId="20"/>
    <cellStyle name="Hyperlink" xfId="9" builtinId="8" customBuiltin="1"/>
    <cellStyle name="Left Border" xfId="21"/>
    <cellStyle name="Left Bottom Green Border" xfId="22"/>
    <cellStyle name="Left Green Border" xfId="23"/>
    <cellStyle name="Normal" xfId="0" builtinId="0" customBuiltin="1"/>
    <cellStyle name="Normal 2" xfId="3"/>
    <cellStyle name="Normal 3" xfId="32"/>
    <cellStyle name="Normal 4" xfId="33"/>
    <cellStyle name="Normal 5" xfId="35"/>
    <cellStyle name="Normal 5 2" xfId="38"/>
    <cellStyle name="Normal 5 2 2" xfId="43"/>
    <cellStyle name="Normal 5 3" xfId="41"/>
    <cellStyle name="OrangeBorder" xfId="24"/>
    <cellStyle name="OrangeBorder 2" xfId="34"/>
    <cellStyle name="Right Bottom Green Border" xfId="25"/>
    <cellStyle name="Right Green Border" xfId="26"/>
    <cellStyle name="Start Text" xfId="2"/>
    <cellStyle name="Title 2" xfId="4"/>
    <cellStyle name="Title 3" xfId="36"/>
    <cellStyle name="Title 4" xfId="37"/>
    <cellStyle name="Title 5" xfId="8"/>
    <cellStyle name="Year" xfId="27"/>
    <cellStyle name="YellowCell" xfId="28"/>
    <cellStyle name="YellowCell 2" xfId="31"/>
    <cellStyle name="z A Column text" xfId="7"/>
  </cellStyles>
  <dxfs count="9">
    <dxf>
      <fill>
        <patternFill patternType="solid">
          <fgColor theme="0" tint="-0.14996795556505021"/>
          <bgColor rgb="FF217346"/>
        </patternFill>
      </fill>
    </dxf>
    <dxf>
      <fill>
        <patternFill patternType="solid">
          <fgColor theme="0" tint="-0.14999847407452621"/>
          <bgColor theme="0" tint="-0.14999847407452621"/>
        </patternFill>
      </fill>
    </dxf>
    <dxf>
      <font>
        <b/>
        <color theme="0"/>
      </font>
      <fill>
        <patternFill patternType="solid">
          <fgColor theme="9"/>
          <bgColor theme="9"/>
        </patternFill>
      </fill>
    </dxf>
    <dxf>
      <font>
        <b/>
        <color theme="0"/>
      </font>
      <fill>
        <patternFill patternType="solid">
          <fgColor theme="9"/>
          <bgColor theme="9"/>
        </patternFill>
      </fill>
    </dxf>
    <dxf>
      <border>
        <top style="double">
          <color theme="1"/>
        </top>
      </border>
    </dxf>
    <dxf>
      <font>
        <b/>
        <color theme="0"/>
      </font>
      <fill>
        <patternFill patternType="solid">
          <fgColor theme="9"/>
          <bgColor rgb="FF217346"/>
        </patternFill>
      </fill>
      <border>
        <bottom style="medium">
          <color theme="1"/>
        </bottom>
      </border>
    </dxf>
    <dxf>
      <font>
        <color theme="1"/>
      </font>
      <border>
        <top style="medium">
          <color theme="1"/>
        </top>
        <bottom style="medium">
          <color theme="1"/>
        </bottom>
      </border>
    </dxf>
    <dxf>
      <fill>
        <patternFill>
          <bgColor theme="0" tint="-4.9989318521683403E-2"/>
        </patternFill>
      </fill>
    </dxf>
    <dxf>
      <font>
        <color theme="0"/>
      </font>
      <fill>
        <patternFill>
          <bgColor rgb="FF339966"/>
        </patternFill>
      </fill>
    </dxf>
  </dxfs>
  <tableStyles count="2" defaultTableStyle="TableStyleMedium2" defaultPivotStyle="PivotStyleLight16">
    <tableStyle name="CustomTableStyle" pivot="0" count="2">
      <tableStyleElement type="headerRow" dxfId="8"/>
      <tableStyleElement type="firstRowStripe" dxfId="7"/>
    </tableStyle>
    <tableStyle name="ExcelTableStyle"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s>
  <colors>
    <mruColors>
      <color rgb="FF00819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657225</xdr:colOff>
      <xdr:row>0</xdr:row>
      <xdr:rowOff>209550</xdr:rowOff>
    </xdr:from>
    <xdr:to>
      <xdr:col>6</xdr:col>
      <xdr:colOff>228600</xdr:colOff>
      <xdr:row>6</xdr:row>
      <xdr:rowOff>47625</xdr:rowOff>
    </xdr:to>
    <xdr:sp macro="" textlink="">
      <xdr:nvSpPr>
        <xdr:cNvPr id="2" name="모서리가 둥근 사각형 설명선 1"/>
        <xdr:cNvSpPr/>
      </xdr:nvSpPr>
      <xdr:spPr>
        <a:xfrm>
          <a:off x="8686800" y="209550"/>
          <a:ext cx="2809875" cy="1181100"/>
        </a:xfrm>
        <a:prstGeom prst="wedgeRoundRectCallout">
          <a:avLst>
            <a:gd name="adj1" fmla="val -169601"/>
            <a:gd name="adj2" fmla="val 10081"/>
            <a:gd name="adj3" fmla="val 16667"/>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Fill out the details of your automation in</a:t>
          </a:r>
          <a:r>
            <a:rPr lang="en-US" sz="1100" baseline="0">
              <a:solidFill>
                <a:sysClr val="windowText" lastClr="000000"/>
              </a:solidFill>
            </a:rPr>
            <a:t> here</a:t>
          </a:r>
        </a:p>
        <a:p>
          <a:pPr algn="l"/>
          <a:r>
            <a:rPr lang="en-US" sz="1100" baseline="0">
              <a:solidFill>
                <a:sysClr val="windowText" lastClr="000000"/>
              </a:solidFill>
            </a:rPr>
            <a:t>- </a:t>
          </a:r>
          <a:r>
            <a:rPr lang="en-US" sz="1100" b="1" u="sng" baseline="0">
              <a:solidFill>
                <a:sysClr val="windowText" lastClr="000000"/>
              </a:solidFill>
            </a:rPr>
            <a:t>Process owner</a:t>
          </a:r>
          <a:r>
            <a:rPr lang="en-US" sz="1100" baseline="0">
              <a:solidFill>
                <a:sysClr val="windowText" lastClr="000000"/>
              </a:solidFill>
            </a:rPr>
            <a:t> : Add your email account (eg, david.park)</a:t>
          </a:r>
        </a:p>
      </xdr:txBody>
    </xdr:sp>
    <xdr:clientData/>
  </xdr:twoCellAnchor>
  <xdr:twoCellAnchor>
    <xdr:from>
      <xdr:col>2</xdr:col>
      <xdr:colOff>676275</xdr:colOff>
      <xdr:row>16</xdr:row>
      <xdr:rowOff>95250</xdr:rowOff>
    </xdr:from>
    <xdr:to>
      <xdr:col>6</xdr:col>
      <xdr:colOff>247650</xdr:colOff>
      <xdr:row>22</xdr:row>
      <xdr:rowOff>95250</xdr:rowOff>
    </xdr:to>
    <xdr:sp macro="" textlink="">
      <xdr:nvSpPr>
        <xdr:cNvPr id="3" name="모서리가 둥근 사각형 설명선 2"/>
        <xdr:cNvSpPr/>
      </xdr:nvSpPr>
      <xdr:spPr>
        <a:xfrm>
          <a:off x="10934700" y="3638550"/>
          <a:ext cx="3267075" cy="1276350"/>
        </a:xfrm>
        <a:prstGeom prst="wedgeRoundRectCallout">
          <a:avLst>
            <a:gd name="adj1" fmla="val -169601"/>
            <a:gd name="adj2" fmla="val 10081"/>
            <a:gd name="adj3" fmla="val 16667"/>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lang="en-US" sz="1100">
              <a:solidFill>
                <a:schemeClr val="tx1"/>
              </a:solidFill>
              <a:effectLst/>
              <a:latin typeface="+mn-lt"/>
              <a:ea typeface="+mn-ea"/>
              <a:cs typeface="+mn-cs"/>
            </a:rPr>
            <a:t>Fill out the details of your automation in</a:t>
          </a:r>
          <a:r>
            <a:rPr lang="en-US" sz="1100" baseline="0">
              <a:solidFill>
                <a:schemeClr val="tx1"/>
              </a:solidFill>
              <a:effectLst/>
              <a:latin typeface="+mn-lt"/>
              <a:ea typeface="+mn-ea"/>
              <a:cs typeface="+mn-cs"/>
            </a:rPr>
            <a:t> here</a:t>
          </a:r>
          <a:endParaRPr lang="en-GB">
            <a:solidFill>
              <a:schemeClr val="tx1"/>
            </a:solidFill>
            <a:effectLst/>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171450</xdr:colOff>
      <xdr:row>7</xdr:row>
      <xdr:rowOff>95250</xdr:rowOff>
    </xdr:from>
    <xdr:to>
      <xdr:col>0</xdr:col>
      <xdr:colOff>4219069</xdr:colOff>
      <xdr:row>21</xdr:row>
      <xdr:rowOff>18726</xdr:rowOff>
    </xdr:to>
    <xdr:pic>
      <xdr:nvPicPr>
        <xdr:cNvPr id="4" name="Picture 3">
          <a:extLst>
            <a:ext uri="{FF2B5EF4-FFF2-40B4-BE49-F238E27FC236}">
              <a16:creationId xmlns="" xmlns:a16="http://schemas.microsoft.com/office/drawing/2014/main" id="{F02D60CF-8928-455B-9C78-A605CA86381D}"/>
            </a:ext>
          </a:extLst>
        </xdr:cNvPr>
        <xdr:cNvPicPr>
          <a:picLocks noChangeAspect="1"/>
        </xdr:cNvPicPr>
      </xdr:nvPicPr>
      <xdr:blipFill>
        <a:blip xmlns:r="http://schemas.openxmlformats.org/officeDocument/2006/relationships" r:embed="rId1"/>
        <a:stretch>
          <a:fillRect/>
        </a:stretch>
      </xdr:blipFill>
      <xdr:spPr>
        <a:xfrm>
          <a:off x="171450" y="1876425"/>
          <a:ext cx="4047619" cy="2590476"/>
        </a:xfrm>
        <a:prstGeom prst="rect">
          <a:avLst/>
        </a:prstGeom>
      </xdr:spPr>
    </xdr:pic>
    <xdr:clientData/>
  </xdr:twoCellAnchor>
  <xdr:twoCellAnchor editAs="oneCell">
    <xdr:from>
      <xdr:col>0</xdr:col>
      <xdr:colOff>219075</xdr:colOff>
      <xdr:row>27</xdr:row>
      <xdr:rowOff>114300</xdr:rowOff>
    </xdr:from>
    <xdr:to>
      <xdr:col>0</xdr:col>
      <xdr:colOff>4266694</xdr:colOff>
      <xdr:row>43</xdr:row>
      <xdr:rowOff>75824</xdr:rowOff>
    </xdr:to>
    <xdr:pic>
      <xdr:nvPicPr>
        <xdr:cNvPr id="2" name="Picture 1">
          <a:extLst>
            <a:ext uri="{FF2B5EF4-FFF2-40B4-BE49-F238E27FC236}">
              <a16:creationId xmlns="" xmlns:a16="http://schemas.microsoft.com/office/drawing/2014/main" id="{962976CE-2C8F-455D-A37F-D5746FB47B40}"/>
            </a:ext>
          </a:extLst>
        </xdr:cNvPr>
        <xdr:cNvPicPr>
          <a:picLocks noChangeAspect="1"/>
        </xdr:cNvPicPr>
      </xdr:nvPicPr>
      <xdr:blipFill>
        <a:blip xmlns:r="http://schemas.openxmlformats.org/officeDocument/2006/relationships" r:embed="rId2"/>
        <a:stretch>
          <a:fillRect/>
        </a:stretch>
      </xdr:blipFill>
      <xdr:spPr>
        <a:xfrm>
          <a:off x="219075" y="5705475"/>
          <a:ext cx="4047619" cy="300952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newep.lge.com/support/profile/getProfile.do?targetUserId=@WUlMMTY4MzA="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mailto:animesh.singh@lgepartner.com" TargetMode="External"/><Relationship Id="rId1" Type="http://schemas.openxmlformats.org/officeDocument/2006/relationships/hyperlink" Target="mailto:animesh.singh@lgepartner.com" TargetMode="External"/><Relationship Id="rId4"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workbookViewId="0">
      <selection activeCell="C28" sqref="C28"/>
    </sheetView>
  </sheetViews>
  <sheetFormatPr defaultRowHeight="15"/>
  <cols>
    <col min="1" max="1" width="29.7109375" customWidth="1"/>
    <col min="2" max="2" width="23.5703125" customWidth="1"/>
  </cols>
  <sheetData>
    <row r="1" spans="1:1">
      <c r="A1" s="22"/>
    </row>
  </sheetData>
  <phoneticPr fontId="1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F31"/>
  <sheetViews>
    <sheetView topLeftCell="A31" workbookViewId="0">
      <selection activeCell="B13" sqref="B13"/>
    </sheetView>
  </sheetViews>
  <sheetFormatPr defaultRowHeight="15"/>
  <cols>
    <col min="1" max="1" width="41.5703125" customWidth="1"/>
    <col min="2" max="2" width="17.7109375" customWidth="1"/>
    <col min="3" max="4" width="12.42578125" customWidth="1"/>
    <col min="6" max="6" width="17.7109375" bestFit="1" customWidth="1"/>
    <col min="7" max="9" width="14.42578125" customWidth="1"/>
  </cols>
  <sheetData>
    <row r="1" spans="1:6" ht="18.75">
      <c r="A1" s="62" t="s">
        <v>3</v>
      </c>
      <c r="B1" s="62"/>
      <c r="C1" s="62"/>
      <c r="D1" s="62"/>
      <c r="E1" s="35"/>
      <c r="F1" s="35"/>
    </row>
    <row r="2" spans="1:6" s="19" customFormat="1" ht="51" customHeight="1">
      <c r="A2" s="63" t="s">
        <v>56</v>
      </c>
      <c r="B2" s="64"/>
      <c r="C2" s="64"/>
      <c r="D2" s="64"/>
      <c r="E2" s="35"/>
      <c r="F2" s="35"/>
    </row>
    <row r="3" spans="1:6">
      <c r="A3" s="1"/>
    </row>
    <row r="4" spans="1:6">
      <c r="A4" s="1" t="s">
        <v>24</v>
      </c>
      <c r="B4" s="2">
        <f ca="1">TODAY()</f>
        <v>46035</v>
      </c>
    </row>
    <row r="6" spans="1:6" s="19" customFormat="1">
      <c r="A6" s="19" t="s">
        <v>54</v>
      </c>
      <c r="B6" s="19" t="s">
        <v>57</v>
      </c>
    </row>
    <row r="7" spans="1:6" s="19" customFormat="1">
      <c r="A7" s="19" t="s">
        <v>38</v>
      </c>
      <c r="B7" s="19">
        <v>7</v>
      </c>
    </row>
    <row r="8" spans="1:6" s="19" customFormat="1">
      <c r="A8" s="19" t="s">
        <v>39</v>
      </c>
      <c r="B8" s="36" t="str">
        <f ca="1">TEXT(Date_Input+Days, preferred_date_format)</f>
        <v>20260120</v>
      </c>
    </row>
    <row r="9" spans="1:6" s="19" customFormat="1">
      <c r="A9" s="19" t="s">
        <v>40</v>
      </c>
      <c r="B9" s="36" t="str">
        <f ca="1">TEXT(WORKDAY(Date_Input, Days),preferred_date_format)</f>
        <v>20260122</v>
      </c>
    </row>
    <row r="10" spans="1:6">
      <c r="A10" t="s">
        <v>12</v>
      </c>
      <c r="B10" s="37" t="str">
        <f ca="1">TEXT(Date_Input,"YYYYMMDD")</f>
        <v>20260113</v>
      </c>
    </row>
    <row r="11" spans="1:6" s="19" customFormat="1"/>
    <row r="12" spans="1:6">
      <c r="A12" t="s">
        <v>23</v>
      </c>
      <c r="B12" s="36" t="str">
        <f ca="1">TEXT(TODAY(), preferred_date_format)</f>
        <v>20260113</v>
      </c>
    </row>
    <row r="13" spans="1:6">
      <c r="A13" t="s">
        <v>13</v>
      </c>
      <c r="B13" s="36" t="str">
        <f ca="1">TEXT(TODAY()-WEEKDAY(TODAY(),2)-6, preferred_date_format)</f>
        <v>20260105</v>
      </c>
      <c r="C13" s="36" t="str">
        <f ca="1">TEXT(TODAY()-WEEKDAY(TODAY(),2)-6+4, preferred_date_format)</f>
        <v>20260109</v>
      </c>
      <c r="D13" s="38" t="str">
        <f ca="1">TEXT(TODAY()-WEEKDAY(TODAY(),2), preferred_date_format)</f>
        <v>20260111</v>
      </c>
      <c r="F13">
        <f ca="1">WEEKDAY(TODAY(),2)</f>
        <v>2</v>
      </c>
    </row>
    <row r="14" spans="1:6">
      <c r="A14" t="s">
        <v>0</v>
      </c>
      <c r="B14" s="36" t="str">
        <f ca="1">TEXT(DATE(YEAR(TODAY()), MONTH(TODAY())-1, 1), preferred_date_format)</f>
        <v>20251201</v>
      </c>
      <c r="C14" s="36" t="str">
        <f ca="1">TEXT(DATE(YEAR(TODAY()), MONTH(TODAY()), 0), preferred_date_format)</f>
        <v>20251231</v>
      </c>
    </row>
    <row r="15" spans="1:6">
      <c r="A15" t="s">
        <v>1</v>
      </c>
      <c r="B15" s="36" t="str">
        <f ca="1">TEXT(WORKDAY(DATE(YEAR(TODAY()),MONTH(TODAY()),1)-1,1), preferred_date_format)</f>
        <v>20260101</v>
      </c>
      <c r="C15" s="36" t="str">
        <f ca="1">TEXT(WORKDAY(DATE(YEAR(TODAY()),MONTH(TODAY())+1,1),-1), preferred_date_format)</f>
        <v>20260130</v>
      </c>
    </row>
    <row r="16" spans="1:6" ht="15.75" thickBot="1"/>
    <row r="17" spans="1:6" ht="15.75" thickBot="1">
      <c r="A17" s="59" t="s">
        <v>15</v>
      </c>
      <c r="B17" s="60"/>
      <c r="C17" s="60"/>
      <c r="D17" s="61"/>
    </row>
    <row r="18" spans="1:6">
      <c r="A18" s="12" t="s">
        <v>16</v>
      </c>
      <c r="B18" s="6"/>
      <c r="C18" s="6"/>
      <c r="D18" s="7"/>
    </row>
    <row r="19" spans="1:6">
      <c r="A19" s="13" t="s">
        <v>17</v>
      </c>
      <c r="B19" s="57" t="s">
        <v>10</v>
      </c>
      <c r="C19" s="57"/>
      <c r="D19" s="58"/>
    </row>
    <row r="20" spans="1:6">
      <c r="A20" s="13" t="s">
        <v>20</v>
      </c>
      <c r="B20" s="5" t="s">
        <v>8</v>
      </c>
      <c r="C20" s="6" t="s">
        <v>9</v>
      </c>
      <c r="D20" s="7" t="s">
        <v>11</v>
      </c>
    </row>
    <row r="21" spans="1:6">
      <c r="A21" s="13" t="s">
        <v>21</v>
      </c>
      <c r="B21" s="6" t="s">
        <v>7</v>
      </c>
      <c r="C21" s="6"/>
      <c r="D21" s="7"/>
    </row>
    <row r="22" spans="1:6">
      <c r="A22" s="14" t="s">
        <v>18</v>
      </c>
      <c r="B22" s="6"/>
      <c r="C22" s="6"/>
      <c r="D22" s="7"/>
    </row>
    <row r="23" spans="1:6">
      <c r="A23" s="13" t="s">
        <v>25</v>
      </c>
      <c r="B23" s="6" t="str">
        <f>LEFT(B19, FIND(B20, B19)-1)</f>
        <v>2008</v>
      </c>
      <c r="C23" s="6" t="str">
        <f>RIGHT(B19, LEN(B19)-LEN(B23)-1)</f>
        <v>12月31日 (水)</v>
      </c>
      <c r="D23" s="7" t="str">
        <f>IF(D20&lt;&gt;"", LEFT(C23, FIND(D20, C23)-1), C23)</f>
        <v>12月31</v>
      </c>
    </row>
    <row r="24" spans="1:6">
      <c r="A24" s="13" t="s">
        <v>26</v>
      </c>
      <c r="B24" s="6" t="str">
        <f>LEFT(C23, FIND(C20, C23)-1)</f>
        <v>12</v>
      </c>
      <c r="C24" s="6"/>
      <c r="D24" s="7"/>
    </row>
    <row r="25" spans="1:6">
      <c r="A25" s="13" t="s">
        <v>27</v>
      </c>
      <c r="B25" s="6" t="str">
        <f>RIGHT(D23, LEN(D23)-LEN(B24)-1)</f>
        <v>31</v>
      </c>
      <c r="C25" s="6"/>
      <c r="D25" s="7"/>
    </row>
    <row r="26" spans="1:6">
      <c r="A26" s="13" t="s">
        <v>28</v>
      </c>
      <c r="B26" s="6" t="str">
        <f>IF(FIND("Y", B21) = 1, B23, IF(FIND("Y", B21) = 2, B24, B25))</f>
        <v>2008</v>
      </c>
      <c r="C26" s="6"/>
      <c r="D26" s="7"/>
      <c r="F26">
        <f>FIND("Y", B21)</f>
        <v>1</v>
      </c>
    </row>
    <row r="27" spans="1:6">
      <c r="A27" s="13" t="s">
        <v>29</v>
      </c>
      <c r="B27" s="6" t="str">
        <f>IF(FIND("M", B21) = 1, B23, IF(FIND("M", B21) = 2, B24, B25))</f>
        <v>12</v>
      </c>
      <c r="C27" s="6"/>
      <c r="D27" s="7"/>
    </row>
    <row r="28" spans="1:6">
      <c r="A28" s="13" t="s">
        <v>30</v>
      </c>
      <c r="B28" s="6" t="str">
        <f>IF(FIND("D", B21) = 1, B23, IF(FIND("D", B21) = 2, B24, B25))</f>
        <v>31</v>
      </c>
      <c r="C28" s="6"/>
      <c r="D28" s="7"/>
    </row>
    <row r="29" spans="1:6">
      <c r="A29" s="14" t="s">
        <v>19</v>
      </c>
      <c r="B29" s="6"/>
      <c r="C29" s="6"/>
      <c r="D29" s="7"/>
    </row>
    <row r="30" spans="1:6" s="19" customFormat="1">
      <c r="A30" s="39" t="s">
        <v>55</v>
      </c>
      <c r="B30" s="6" t="str">
        <f>preferred_date_format</f>
        <v>yyyymmdd</v>
      </c>
      <c r="C30" s="6"/>
      <c r="D30" s="20"/>
    </row>
    <row r="31" spans="1:6" ht="15.75" thickBot="1">
      <c r="A31" s="15" t="s">
        <v>22</v>
      </c>
      <c r="B31" s="8" t="str">
        <f>TEXT(DATE(B26, B27, B28), B30)</f>
        <v>20081231</v>
      </c>
      <c r="C31" s="9"/>
      <c r="D31" s="10"/>
    </row>
  </sheetData>
  <mergeCells count="4">
    <mergeCell ref="B19:D19"/>
    <mergeCell ref="A17:D17"/>
    <mergeCell ref="A1:D1"/>
    <mergeCell ref="A2:D2"/>
  </mergeCells>
  <phoneticPr fontId="18"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M11"/>
  <sheetViews>
    <sheetView topLeftCell="A4" workbookViewId="0">
      <selection activeCell="B10" sqref="B10"/>
    </sheetView>
  </sheetViews>
  <sheetFormatPr defaultRowHeight="15"/>
  <cols>
    <col min="1" max="1" width="20.28515625" bestFit="1" customWidth="1"/>
    <col min="2" max="2" width="40.85546875" customWidth="1"/>
    <col min="4" max="4" width="14.28515625" bestFit="1" customWidth="1"/>
    <col min="5" max="5" width="15.28515625" bestFit="1" customWidth="1"/>
    <col min="6" max="7" width="13.42578125" bestFit="1" customWidth="1"/>
  </cols>
  <sheetData>
    <row r="1" spans="1:13" s="19" customFormat="1" ht="18.75">
      <c r="A1" s="62" t="s">
        <v>37</v>
      </c>
      <c r="B1" s="62"/>
      <c r="C1" s="62"/>
      <c r="D1" s="62"/>
      <c r="E1" s="62"/>
      <c r="F1" s="62"/>
    </row>
    <row r="2" spans="1:13" s="3" customFormat="1" ht="15" customHeight="1">
      <c r="A2" s="63" t="s">
        <v>49</v>
      </c>
      <c r="B2" s="63"/>
      <c r="C2" s="63"/>
      <c r="D2" s="63"/>
      <c r="E2" s="63"/>
      <c r="F2" s="63"/>
    </row>
    <row r="4" spans="1:13">
      <c r="A4" t="s">
        <v>79</v>
      </c>
      <c r="B4" s="52" t="s">
        <v>80</v>
      </c>
      <c r="D4" s="3"/>
      <c r="E4" s="3"/>
      <c r="F4" s="3"/>
    </row>
    <row r="5" spans="1:13">
      <c r="A5" t="s">
        <v>81</v>
      </c>
      <c r="C5" s="19"/>
      <c r="D5" s="19"/>
      <c r="E5" s="21"/>
    </row>
    <row r="6" spans="1:13">
      <c r="D6" s="19"/>
      <c r="E6" s="19"/>
      <c r="F6" s="21"/>
    </row>
    <row r="7" spans="1:13">
      <c r="A7" s="19" t="str">
        <f>TEXT(B7,"d""th"" mmm")</f>
        <v>13th Jun</v>
      </c>
      <c r="B7" s="56">
        <v>45821</v>
      </c>
      <c r="D7" s="19"/>
      <c r="E7" s="19"/>
      <c r="F7" s="21"/>
    </row>
    <row r="8" spans="1:13">
      <c r="D8" s="19"/>
      <c r="E8" s="19"/>
      <c r="F8" s="21"/>
    </row>
    <row r="9" spans="1:13">
      <c r="F9" s="21"/>
    </row>
    <row r="10" spans="1:13">
      <c r="A10" t="s">
        <v>86</v>
      </c>
      <c r="B10" t="str">
        <f ca="1">UPPER(TEXT(EOMONTH(TODAY(), -2) + 1, "dd-mmm-yyyy"))</f>
        <v>01-DEC-2025</v>
      </c>
      <c r="M10" s="55" t="s">
        <v>85</v>
      </c>
    </row>
    <row r="11" spans="1:13">
      <c r="A11" t="s">
        <v>87</v>
      </c>
      <c r="B11" t="str">
        <f ca="1">UPPER(TEXT(EOMONTH(TODAY(), -1), "dd-mmm-yyyy"))</f>
        <v>31-DEC-2025</v>
      </c>
    </row>
  </sheetData>
  <mergeCells count="2">
    <mergeCell ref="A1:F1"/>
    <mergeCell ref="A2:F2"/>
  </mergeCells>
  <phoneticPr fontId="18" type="noConversion"/>
  <hyperlinks>
    <hyperlink ref="B4" r:id="rId1" location="a" display="http://newep.lge.com/support/profile/getProfile.do?targetUserId=@WUlMMTY4MzA= - a"/>
  </hyperlinks>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E15"/>
  <sheetViews>
    <sheetView workbookViewId="0">
      <selection activeCell="B5" sqref="B5"/>
    </sheetView>
  </sheetViews>
  <sheetFormatPr defaultRowHeight="15"/>
  <cols>
    <col min="1" max="1" width="24.7109375" customWidth="1"/>
    <col min="2" max="2" width="25.7109375" customWidth="1"/>
    <col min="4" max="4" width="20.85546875" bestFit="1" customWidth="1"/>
    <col min="5" max="5" width="15.85546875" customWidth="1"/>
  </cols>
  <sheetData>
    <row r="1" spans="1:5" ht="18.75">
      <c r="A1" s="62" t="s">
        <v>2</v>
      </c>
      <c r="B1" s="62"/>
      <c r="C1" s="34"/>
      <c r="D1" s="34"/>
    </row>
    <row r="2" spans="1:5" ht="15" customHeight="1">
      <c r="A2" s="63" t="s">
        <v>50</v>
      </c>
      <c r="B2" s="63"/>
      <c r="C2" s="33"/>
      <c r="D2" s="33"/>
    </row>
    <row r="3" spans="1:5" s="19" customFormat="1">
      <c r="A3" s="33"/>
      <c r="B3" s="33"/>
      <c r="C3" s="33"/>
      <c r="D3" s="33"/>
    </row>
    <row r="4" spans="1:5">
      <c r="A4" t="s">
        <v>34</v>
      </c>
      <c r="B4" s="22">
        <v>3.1415929999999999</v>
      </c>
    </row>
    <row r="5" spans="1:5" s="19" customFormat="1">
      <c r="A5" s="19" t="s">
        <v>41</v>
      </c>
      <c r="B5" s="19">
        <f>VALUE(TRIM(SUBSTITUTE(SUBSTITUTE(SUBSTITUTE(Number_Input, CHAR(13), ""), CHAR(10), ""), CHAR(160), "")))</f>
        <v>3.1415929999999999</v>
      </c>
    </row>
    <row r="6" spans="1:5">
      <c r="A6" t="s">
        <v>35</v>
      </c>
      <c r="B6">
        <f>INT(CleanNumber)</f>
        <v>3</v>
      </c>
    </row>
    <row r="7" spans="1:5">
      <c r="A7" t="s">
        <v>36</v>
      </c>
      <c r="B7">
        <f>INT(CleanNumber*100)/100</f>
        <v>3.14</v>
      </c>
    </row>
    <row r="8" spans="1:5" ht="15.75" thickBot="1"/>
    <row r="9" spans="1:5" ht="15.75" thickBot="1">
      <c r="A9" s="59" t="s">
        <v>14</v>
      </c>
      <c r="B9" s="61"/>
    </row>
    <row r="10" spans="1:5">
      <c r="A10" s="12" t="s">
        <v>16</v>
      </c>
      <c r="B10" s="7"/>
    </row>
    <row r="11" spans="1:5">
      <c r="A11" s="13" t="s">
        <v>17</v>
      </c>
      <c r="B11" s="7" t="s">
        <v>5</v>
      </c>
    </row>
    <row r="12" spans="1:5">
      <c r="A12" s="13" t="s">
        <v>31</v>
      </c>
      <c r="B12" s="7" t="s">
        <v>4</v>
      </c>
      <c r="E12" s="4"/>
    </row>
    <row r="13" spans="1:5">
      <c r="A13" s="13" t="s">
        <v>32</v>
      </c>
      <c r="B13" s="7" t="s">
        <v>6</v>
      </c>
    </row>
    <row r="14" spans="1:5">
      <c r="A14" s="14" t="s">
        <v>19</v>
      </c>
      <c r="B14" s="7"/>
    </row>
    <row r="15" spans="1:5" ht="15.75" thickBot="1">
      <c r="A15" s="15" t="s">
        <v>33</v>
      </c>
      <c r="B15" s="11">
        <f>IF(B12&lt;&gt;"",IF(B13&lt;&gt;"",_xlfn.NUMBERVALUE(B11, B12, B13),_xlfn.NUMBERVALUE(B11, B12)),IF(B13&lt;&gt;"",_xlfn.NUMBERVALUE(B11,, B13),_xlfn.NUMBERVALUE(B11)))</f>
        <v>123456.78</v>
      </c>
    </row>
  </sheetData>
  <mergeCells count="3">
    <mergeCell ref="A1:B1"/>
    <mergeCell ref="A2:B2"/>
    <mergeCell ref="A9:B9"/>
  </mergeCells>
  <phoneticPr fontId="18"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D11"/>
  <sheetViews>
    <sheetView tabSelected="1" zoomScale="140" zoomScaleNormal="140" workbookViewId="0">
      <selection activeCell="C4" sqref="C4"/>
    </sheetView>
  </sheetViews>
  <sheetFormatPr defaultRowHeight="15"/>
  <cols>
    <col min="1" max="1" width="32.42578125" bestFit="1" customWidth="1"/>
    <col min="2" max="2" width="42" customWidth="1"/>
    <col min="3" max="4" width="15.140625" customWidth="1"/>
  </cols>
  <sheetData>
    <row r="1" spans="1:4" ht="15" customHeight="1">
      <c r="A1" s="19" t="s">
        <v>88</v>
      </c>
      <c r="B1" t="s">
        <v>89</v>
      </c>
      <c r="C1" t="s">
        <v>90</v>
      </c>
      <c r="D1" s="33"/>
    </row>
    <row r="2" spans="1:4" s="35" customFormat="1">
      <c r="A2" s="19" t="s">
        <v>91</v>
      </c>
      <c r="B2" t="s">
        <v>94</v>
      </c>
      <c r="C2">
        <v>152</v>
      </c>
      <c r="D2" s="33"/>
    </row>
    <row r="3" spans="1:4" ht="15.75" customHeight="1">
      <c r="A3" s="19" t="s">
        <v>92</v>
      </c>
      <c r="B3" t="s">
        <v>95</v>
      </c>
    </row>
    <row r="4" spans="1:4">
      <c r="A4" s="19" t="s">
        <v>93</v>
      </c>
      <c r="B4" t="s">
        <v>96</v>
      </c>
    </row>
    <row r="5" spans="1:4">
      <c r="A5" s="19"/>
    </row>
    <row r="11" spans="1:4">
      <c r="B11" s="19"/>
    </row>
  </sheetData>
  <phoneticPr fontId="18" type="noConversion"/>
  <pageMargins left="0.7" right="0.7" top="0.75" bottom="0.75" header="0.3" footer="0.3"/>
  <pageSetup orientation="portrait" horizontalDpi="90" verticalDpi="9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D21"/>
  <sheetViews>
    <sheetView zoomScale="93" zoomScaleNormal="93" workbookViewId="0">
      <selection activeCell="B6" sqref="B6"/>
    </sheetView>
  </sheetViews>
  <sheetFormatPr defaultColWidth="9.140625" defaultRowHeight="15"/>
  <cols>
    <col min="1" max="1" width="32.42578125" style="19" bestFit="1" customWidth="1"/>
    <col min="2" max="2" width="102.28515625" style="19" customWidth="1"/>
    <col min="3" max="4" width="15.140625" style="19" customWidth="1"/>
    <col min="5" max="16384" width="9.140625" style="19"/>
  </cols>
  <sheetData>
    <row r="1" spans="1:4" ht="18.75">
      <c r="A1" s="62" t="s">
        <v>58</v>
      </c>
      <c r="B1" s="62"/>
      <c r="C1" s="34"/>
      <c r="D1" s="34"/>
    </row>
    <row r="2" spans="1:4" ht="15" customHeight="1">
      <c r="A2" s="63" t="s">
        <v>59</v>
      </c>
      <c r="B2" s="63"/>
      <c r="C2" s="33"/>
      <c r="D2" s="33"/>
    </row>
    <row r="3" spans="1:4" s="35" customFormat="1" ht="15.75" thickBot="1">
      <c r="A3" s="33"/>
      <c r="B3" s="33"/>
      <c r="C3" s="33"/>
      <c r="D3" s="33"/>
    </row>
    <row r="4" spans="1:4" ht="18.75">
      <c r="A4" s="17" t="s">
        <v>61</v>
      </c>
      <c r="B4" s="53" t="s">
        <v>82</v>
      </c>
    </row>
    <row r="5" spans="1:4">
      <c r="A5" s="18" t="s">
        <v>72</v>
      </c>
      <c r="B5" s="54" t="s">
        <v>83</v>
      </c>
    </row>
    <row r="6" spans="1:4" ht="18.75">
      <c r="A6" s="18" t="s">
        <v>60</v>
      </c>
      <c r="B6" s="41" t="s">
        <v>84</v>
      </c>
    </row>
    <row r="7" spans="1:4">
      <c r="A7" s="16" t="s">
        <v>62</v>
      </c>
      <c r="B7" s="40" t="s">
        <v>75</v>
      </c>
    </row>
    <row r="8" spans="1:4">
      <c r="A8" s="16" t="s">
        <v>65</v>
      </c>
      <c r="B8" s="40" t="str">
        <f>B4</f>
        <v>LGEIL</v>
      </c>
    </row>
    <row r="9" spans="1:4">
      <c r="A9" s="16" t="s">
        <v>64</v>
      </c>
      <c r="B9" s="40" t="str">
        <f>B5</f>
        <v>Animesh.singh</v>
      </c>
    </row>
    <row r="10" spans="1:4">
      <c r="A10" s="18" t="s">
        <v>63</v>
      </c>
      <c r="B10" s="40" t="str">
        <f>IFERROR(IF(FIND(B4, B6)&gt;=0, ""), B4&amp;"_")&amp;B6&amp;IFERROR(IF(FIND("_Self", B6)&gt;=0, ""), "_Self")</f>
        <v>INDIA_LGEIL_allProducts_Reconciliation_of_Sales_Fact_SELF_Self</v>
      </c>
    </row>
    <row r="11" spans="1:4">
      <c r="A11" s="18" t="s">
        <v>66</v>
      </c>
      <c r="B11" s="40" t="str">
        <f ca="1">TEXT(TODAY(),"yyyymmdd")</f>
        <v>20260113</v>
      </c>
    </row>
    <row r="12" spans="1:4">
      <c r="A12" s="18" t="s">
        <v>70</v>
      </c>
      <c r="B12" s="44" t="str">
        <f>B7&amp;"\"&amp;B8&amp;"\"&amp;B9</f>
        <v>D:\RPA_Repository_SELFRPA\LGEIL\Animesh.singh</v>
      </c>
    </row>
    <row r="13" spans="1:4">
      <c r="A13" s="18" t="s">
        <v>69</v>
      </c>
      <c r="B13" s="44" t="str">
        <f>B7&amp;"\"&amp;B8&amp;"\"&amp;B9&amp;"\"&amp;B10</f>
        <v>D:\RPA_Repository_SELFRPA\LGEIL\Animesh.singh\INDIA_LGEIL_allProducts_Reconciliation_of_Sales_Fact_SELF_Self</v>
      </c>
    </row>
    <row r="14" spans="1:4">
      <c r="A14" s="16" t="s">
        <v>67</v>
      </c>
      <c r="B14" s="44" t="str">
        <f ca="1">B7&amp;"\"&amp;B8&amp;"\"&amp;B9&amp;"\"&amp;B10&amp;"\"&amp;B11</f>
        <v>D:\RPA_Repository_SELFRPA\LGEIL\Animesh.singh\INDIA_LGEIL_allProducts_Reconciliation_of_Sales_Fact_SELF_Self\20260113</v>
      </c>
    </row>
    <row r="15" spans="1:4">
      <c r="A15" s="42" t="s">
        <v>71</v>
      </c>
      <c r="B15" s="44" t="str">
        <f ca="1">ProcessFolder&amp;"\"&amp;"News_"&amp;Today &amp;".xlsx"</f>
        <v>D:\RPA_Repository_SELFRPA\LGEIL\Animesh.singh\INDIA_LGEIL_allProducts_Reconciliation_of_Sales_Fact_SELF_Self\20260113\News_20260113.xlsx</v>
      </c>
    </row>
    <row r="16" spans="1:4" ht="15.75" thickBot="1">
      <c r="A16" s="43" t="s">
        <v>68</v>
      </c>
      <c r="B16" s="45" t="str">
        <f ca="1">B7&amp;"\"&amp;B8&amp;"\"&amp;B9&amp;"\"&amp;B10&amp;"\"&amp;B11&amp;"\"&amp;"News_"&amp;TEXT(TODAY(),"yyyymmdd")&amp;".docx"</f>
        <v>D:\RPA_Repository_SELFRPA\LGEIL\Animesh.singh\INDIA_LGEIL_allProducts_Reconciliation_of_Sales_Fact_SELF_Self\20260113\News_20260113.docx</v>
      </c>
    </row>
    <row r="17" spans="1:2" ht="15.75" thickBot="1">
      <c r="A17" s="6"/>
      <c r="B17" s="6"/>
    </row>
    <row r="18" spans="1:2">
      <c r="A18" s="46" t="s">
        <v>74</v>
      </c>
      <c r="B18" s="47" t="s">
        <v>73</v>
      </c>
    </row>
    <row r="19" spans="1:2">
      <c r="A19" s="48" t="s">
        <v>76</v>
      </c>
      <c r="B19" s="54" t="s">
        <v>83</v>
      </c>
    </row>
    <row r="20" spans="1:2">
      <c r="A20" s="48" t="s">
        <v>77</v>
      </c>
      <c r="B20" s="50" t="s">
        <v>80</v>
      </c>
    </row>
    <row r="21" spans="1:2" ht="15.75" thickBot="1">
      <c r="A21" s="49" t="s">
        <v>78</v>
      </c>
      <c r="B21" s="51" t="s">
        <v>84</v>
      </c>
    </row>
  </sheetData>
  <mergeCells count="2">
    <mergeCell ref="A1:B1"/>
    <mergeCell ref="A2:B2"/>
  </mergeCells>
  <phoneticPr fontId="18" type="noConversion"/>
  <hyperlinks>
    <hyperlink ref="B5" r:id="rId1" display="mailto:animesh.singh@lgepartner.com"/>
    <hyperlink ref="B19" r:id="rId2" display="mailto:animesh.singh@lgepartner.com"/>
  </hyperlinks>
  <pageMargins left="0.7" right="0.7" top="0.75" bottom="0.75" header="0.3" footer="0.3"/>
  <pageSetup paperSize="9" orientation="portrait" r:id="rId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E27"/>
  <sheetViews>
    <sheetView showGridLines="0" showRowColHeaders="0" workbookViewId="0"/>
  </sheetViews>
  <sheetFormatPr defaultColWidth="8.85546875" defaultRowHeight="15"/>
  <cols>
    <col min="1" max="1" width="165.5703125" style="23" customWidth="1"/>
    <col min="2" max="2" width="15.42578125" style="23" customWidth="1"/>
    <col min="3" max="3" width="15.28515625" style="23" bestFit="1" customWidth="1"/>
    <col min="4" max="4" width="13.42578125" style="23" bestFit="1" customWidth="1"/>
    <col min="5" max="5" width="10.7109375" style="23" bestFit="1" customWidth="1"/>
    <col min="6" max="16384" width="8.85546875" style="23"/>
  </cols>
  <sheetData>
    <row r="1" spans="1:5" ht="5.25" customHeight="1">
      <c r="A1" s="29"/>
    </row>
    <row r="2" spans="1:5" ht="37.5">
      <c r="A2" s="32" t="s">
        <v>42</v>
      </c>
    </row>
    <row r="3" spans="1:5" ht="37.5">
      <c r="A3" s="31" t="s">
        <v>53</v>
      </c>
    </row>
    <row r="4" spans="1:5">
      <c r="A4" s="28"/>
      <c r="D4" s="24"/>
    </row>
    <row r="5" spans="1:5">
      <c r="A5" s="27" t="s">
        <v>44</v>
      </c>
      <c r="D5" s="25"/>
      <c r="E5" s="26"/>
    </row>
    <row r="6" spans="1:5">
      <c r="A6" s="30" t="s">
        <v>51</v>
      </c>
    </row>
    <row r="7" spans="1:5">
      <c r="A7" s="30" t="s">
        <v>43</v>
      </c>
    </row>
    <row r="8" spans="1:5">
      <c r="A8" s="28"/>
    </row>
    <row r="9" spans="1:5">
      <c r="A9" s="28"/>
    </row>
    <row r="10" spans="1:5">
      <c r="A10" s="28"/>
    </row>
    <row r="11" spans="1:5">
      <c r="A11" s="28"/>
    </row>
    <row r="12" spans="1:5">
      <c r="A12" s="28"/>
    </row>
    <row r="13" spans="1:5">
      <c r="A13" s="28"/>
    </row>
    <row r="14" spans="1:5">
      <c r="A14" s="28"/>
    </row>
    <row r="15" spans="1:5">
      <c r="A15" s="28"/>
    </row>
    <row r="16" spans="1:5">
      <c r="A16" s="28"/>
    </row>
    <row r="17" spans="1:1">
      <c r="A17" s="28"/>
    </row>
    <row r="18" spans="1:1">
      <c r="A18" s="28"/>
    </row>
    <row r="19" spans="1:1">
      <c r="A19" s="28"/>
    </row>
    <row r="20" spans="1:1">
      <c r="A20" s="28"/>
    </row>
    <row r="21" spans="1:1">
      <c r="A21" s="28"/>
    </row>
    <row r="22" spans="1:1">
      <c r="A22" s="28"/>
    </row>
    <row r="23" spans="1:1">
      <c r="A23" s="27" t="s">
        <v>45</v>
      </c>
    </row>
    <row r="24" spans="1:1">
      <c r="A24" s="30" t="s">
        <v>46</v>
      </c>
    </row>
    <row r="25" spans="1:1">
      <c r="A25" s="30" t="s">
        <v>47</v>
      </c>
    </row>
    <row r="26" spans="1:1">
      <c r="A26" s="30" t="s">
        <v>52</v>
      </c>
    </row>
    <row r="27" spans="1:1">
      <c r="A27" s="30" t="s">
        <v>48</v>
      </c>
    </row>
  </sheetData>
  <phoneticPr fontId="18" type="noConversion"/>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7</vt:i4>
      </vt:variant>
      <vt:variant>
        <vt:lpstr>Named Ranges</vt:lpstr>
      </vt:variant>
      <vt:variant>
        <vt:i4>60</vt:i4>
      </vt:variant>
    </vt:vector>
  </HeadingPairs>
  <TitlesOfParts>
    <vt:vector size="67" baseType="lpstr">
      <vt:lpstr>Scratchpad</vt:lpstr>
      <vt:lpstr>Date</vt:lpstr>
      <vt:lpstr>Text</vt:lpstr>
      <vt:lpstr>Number</vt:lpstr>
      <vt:lpstr>File</vt:lpstr>
      <vt:lpstr>Self RPA</vt:lpstr>
      <vt:lpstr>About the Project Notebook</vt:lpstr>
      <vt:lpstr>_A1</vt:lpstr>
      <vt:lpstr>_A2</vt:lpstr>
      <vt:lpstr>_A3</vt:lpstr>
      <vt:lpstr>CleanNumber</vt:lpstr>
      <vt:lpstr>Contains</vt:lpstr>
      <vt:lpstr>date</vt:lpstr>
      <vt:lpstr>Date_Input</vt:lpstr>
      <vt:lpstr>DatePlusDays</vt:lpstr>
      <vt:lpstr>DatePlusWorkingDays</vt:lpstr>
      <vt:lpstr>DateText</vt:lpstr>
      <vt:lpstr>Days</vt:lpstr>
      <vt:lpstr>error_ccmail</vt:lpstr>
      <vt:lpstr>error_toMail</vt:lpstr>
      <vt:lpstr>FileSaveAsExcel</vt:lpstr>
      <vt:lpstr>FileSaveAsWord</vt:lpstr>
      <vt:lpstr>FirstName</vt:lpstr>
      <vt:lpstr>Footer</vt:lpstr>
      <vt:lpstr>ftp_folder</vt:lpstr>
      <vt:lpstr>FTP_RECEIVING_FILE_PATH</vt:lpstr>
      <vt:lpstr>FTP_SALE_FILE_PATH</vt:lpstr>
      <vt:lpstr>IN016731001H</vt:lpstr>
      <vt:lpstr>IN043486001H</vt:lpstr>
      <vt:lpstr>IN056992002H</vt:lpstr>
      <vt:lpstr>Int</vt:lpstr>
      <vt:lpstr>LastMonthEndDate</vt:lpstr>
      <vt:lpstr>LastMonthStartDate</vt:lpstr>
      <vt:lpstr>LastName</vt:lpstr>
      <vt:lpstr>LastWeekFriday</vt:lpstr>
      <vt:lpstr>LastWeekMonday</vt:lpstr>
      <vt:lpstr>LastWeekSunday</vt:lpstr>
      <vt:lpstr>Length</vt:lpstr>
      <vt:lpstr>LowerCase</vt:lpstr>
      <vt:lpstr>month_end_Date</vt:lpstr>
      <vt:lpstr>month_start_date</vt:lpstr>
      <vt:lpstr>Number_Input</vt:lpstr>
      <vt:lpstr>NumberText_Input</vt:lpstr>
      <vt:lpstr>PrcessOwner</vt:lpstr>
      <vt:lpstr>PrcoessName</vt:lpstr>
      <vt:lpstr>preferred_date_format</vt:lpstr>
      <vt:lpstr>ProcessFolder</vt:lpstr>
      <vt:lpstr>ProcessFolderBase</vt:lpstr>
      <vt:lpstr>ProcessFolderOwner</vt:lpstr>
      <vt:lpstr>ProcessOwnerMail</vt:lpstr>
      <vt:lpstr>Product_AU_CODE</vt:lpstr>
      <vt:lpstr>Product_unit_code</vt:lpstr>
      <vt:lpstr>ReformattedDate</vt:lpstr>
      <vt:lpstr>ReformattedNumber</vt:lpstr>
      <vt:lpstr>Replace</vt:lpstr>
      <vt:lpstr>Result</vt:lpstr>
      <vt:lpstr>Search</vt:lpstr>
      <vt:lpstr>SINGLEX_FILE_PATH_FTP</vt:lpstr>
      <vt:lpstr>STOCK_FILE_DATA_FTP</vt:lpstr>
      <vt:lpstr>Text_Input</vt:lpstr>
      <vt:lpstr>ThisMonthFirstWorkingDay</vt:lpstr>
      <vt:lpstr>ThisMonthLastWorkingDay</vt:lpstr>
      <vt:lpstr>Today</vt:lpstr>
      <vt:lpstr>Trimmed</vt:lpstr>
      <vt:lpstr>TwoDecimals</vt:lpstr>
      <vt:lpstr>UpperCase</vt:lpstr>
      <vt:lpstr>YYYYMMDD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UiPath</dc:creator>
  <cp:lastModifiedBy>animesh1.singh</cp:lastModifiedBy>
  <dcterms:created xsi:type="dcterms:W3CDTF">2019-08-19T13:07:58Z</dcterms:created>
  <dcterms:modified xsi:type="dcterms:W3CDTF">2026-01-13T06:38:43Z</dcterms:modified>
</cp:coreProperties>
</file>